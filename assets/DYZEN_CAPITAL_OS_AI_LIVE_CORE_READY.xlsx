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YTHON_BRIDGE" sheetId="1" state="visible" r:id="rId1"/>
    <sheet xmlns:r="http://schemas.openxmlformats.org/officeDocument/2006/relationships" name="AI_HELPERS" sheetId="2" state="visible" r:id="rId2"/>
    <sheet xmlns:r="http://schemas.openxmlformats.org/officeDocument/2006/relationships" name="CONFIDENCE_PIPELINE" sheetId="3" state="visible" r:id="rId3"/>
    <sheet xmlns:r="http://schemas.openxmlformats.org/officeDocument/2006/relationships" name="SIGNAL_GATING" sheetId="4" state="visible" r:id="rId4"/>
    <sheet xmlns:r="http://schemas.openxmlformats.org/officeDocument/2006/relationships" name="INSTITUTIONAL_HARDENING" sheetId="5" state="visible" r:id="rId5"/>
    <sheet xmlns:r="http://schemas.openxmlformats.org/officeDocument/2006/relationships" name="AI_OUTPUT" sheetId="6" state="visible" r:id="rId6"/>
    <sheet xmlns:r="http://schemas.openxmlformats.org/officeDocument/2006/relationships" name="PARAMET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description</t>
        </is>
      </c>
    </row>
    <row r="2">
      <c r="A2" t="inlineStr">
        <is>
          <t>confidence_score_input</t>
        </is>
      </c>
      <c r="B2" t="n">
        <v>0</v>
      </c>
      <c r="C2" t="inlineStr">
        <is>
          <t>Base confidence from signal engine</t>
        </is>
      </c>
    </row>
    <row r="3">
      <c r="A3" t="inlineStr">
        <is>
          <t>volume_score_input</t>
        </is>
      </c>
      <c r="B3" t="n">
        <v>0</v>
      </c>
      <c r="C3" t="inlineStr">
        <is>
          <t>Volume confirmation score</t>
        </is>
      </c>
    </row>
    <row r="4">
      <c r="A4" t="inlineStr">
        <is>
          <t>trend_strength_input</t>
        </is>
      </c>
      <c r="B4" t="n">
        <v>0</v>
      </c>
      <c r="C4" t="inlineStr">
        <is>
          <t>Trend strength score</t>
        </is>
      </c>
    </row>
    <row r="5">
      <c r="A5" t="inlineStr">
        <is>
          <t>volatility_regime_input</t>
        </is>
      </c>
      <c r="B5" t="n">
        <v>0</v>
      </c>
      <c r="C5" t="inlineStr">
        <is>
          <t>Volatility regime numeric</t>
        </is>
      </c>
    </row>
    <row r="6">
      <c r="A6" t="inlineStr">
        <is>
          <t>portfolio_heat</t>
        </is>
      </c>
      <c r="B6" t="n">
        <v>0</v>
      </c>
      <c r="C6" t="inlineStr">
        <is>
          <t>Portfolio heat %</t>
        </is>
      </c>
    </row>
    <row r="7">
      <c r="A7" t="inlineStr">
        <is>
          <t>effective_slippage_pct</t>
        </is>
      </c>
      <c r="B7" t="n">
        <v>0</v>
      </c>
      <c r="C7" t="inlineStr">
        <is>
          <t>Execution slippage estimate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helper</t>
        </is>
      </c>
      <c r="B1" t="inlineStr">
        <is>
          <t>value</t>
        </is>
      </c>
      <c r="C1" t="inlineStr">
        <is>
          <t>description</t>
        </is>
      </c>
    </row>
    <row r="2">
      <c r="A2" t="inlineStr">
        <is>
          <t>CONF_ADJ</t>
        </is>
      </c>
      <c r="B2">
        <f>1+(PYTHON_BRIDGE!B5*0.2)</f>
        <v/>
      </c>
      <c r="C2" t="inlineStr">
        <is>
          <t>confidence adjustment by regime</t>
        </is>
      </c>
    </row>
    <row r="3">
      <c r="A3" t="inlineStr">
        <is>
          <t>VOL_OK</t>
        </is>
      </c>
      <c r="B3">
        <f>PYTHON_BRIDGE!B3&gt;0.4</f>
        <v/>
      </c>
      <c r="C3" t="inlineStr">
        <is>
          <t>volume confirmation gate</t>
        </is>
      </c>
    </row>
    <row r="4">
      <c r="A4" t="inlineStr">
        <is>
          <t>TREND_OK</t>
        </is>
      </c>
      <c r="B4">
        <f>PYTHON_BRIDGE!B4&gt;0.4</f>
        <v/>
      </c>
      <c r="C4" t="inlineStr">
        <is>
          <t>trend persistence gate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value</t>
        </is>
      </c>
    </row>
    <row r="2">
      <c r="A2" t="inlineStr">
        <is>
          <t>CONF_BASE</t>
        </is>
      </c>
      <c r="B2">
        <f>(PYTHON_BRIDGE!B2*0.4 + PYTHON_BRIDGE!B3*0.3 + PYTHON_BRIDGE!B4*0.3)</f>
        <v/>
      </c>
    </row>
    <row r="3">
      <c r="A3" t="inlineStr">
        <is>
          <t>HEALTH_DAMP</t>
        </is>
      </c>
      <c r="B3">
        <f>IF(AI_HELPERS!B3,1,0.7)</f>
        <v/>
      </c>
    </row>
    <row r="4">
      <c r="A4" t="inlineStr">
        <is>
          <t>RISK_DAMP</t>
        </is>
      </c>
      <c r="B4">
        <f>IF(PYTHON_BRIDGE!B6&lt;0.7,1,0.6)</f>
        <v/>
      </c>
    </row>
    <row r="5">
      <c r="A5" t="inlineStr">
        <is>
          <t>CONF_FINAL</t>
        </is>
      </c>
      <c r="B5">
        <f>B2*B3*B4*AI_HELPERS!B2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gate</t>
        </is>
      </c>
      <c r="B1" t="inlineStr">
        <is>
          <t>value</t>
        </is>
      </c>
    </row>
    <row r="2">
      <c r="A2" t="inlineStr">
        <is>
          <t>ALLOW_TRADE</t>
        </is>
      </c>
      <c r="B2">
        <f>CONFIDENCE_PIPELINE!B5&gt;0.6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value</t>
        </is>
      </c>
    </row>
    <row r="2">
      <c r="A2" t="inlineStr">
        <is>
          <t>PORTFOLIO_HEAT_OK</t>
        </is>
      </c>
      <c r="B2">
        <f>PYTHON_BRIDGE!B6&lt;0.7</f>
        <v/>
      </c>
    </row>
    <row r="3">
      <c r="A3" t="inlineStr">
        <is>
          <t>SLIPPAGE_OK</t>
        </is>
      </c>
      <c r="B3">
        <f>PYTHON_BRIDGE!B7&lt;0.02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FINAL_AI_SCORE</t>
        </is>
      </c>
      <c r="B2">
        <f>CONFIDENCE_PIPELINE!B5</f>
        <v/>
      </c>
    </row>
    <row r="3">
      <c r="A3" t="inlineStr">
        <is>
          <t>ALLOW_TRADE_FLAG</t>
        </is>
      </c>
      <c r="B3">
        <f>SIGNAL_GATING!B2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EXECUTION_THRESHOLD</t>
        </is>
      </c>
      <c r="B2" t="n">
        <v>0.6</v>
      </c>
    </row>
    <row r="3">
      <c r="A3" t="inlineStr">
        <is>
          <t>MAX_PORTFOLIO_HEAT</t>
        </is>
      </c>
      <c r="B3" t="n">
        <v>0.7</v>
      </c>
    </row>
    <row r="4">
      <c r="A4" t="inlineStr">
        <is>
          <t>MAX_SLIPPAGE</t>
        </is>
      </c>
      <c r="B4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2026-03-09T17:01:01Z</dcterms:created>
  <dcterms:modified xmlns:dcterms="http://purl.org/dc/terms/" xmlns:xsi="http://www.w3.org/2001/XMLSchema-instance" xsi:type="dcterms:W3CDTF">2026-03-09T17:01:01Z</dcterms:modified>
</cp:coreProperties>
</file>